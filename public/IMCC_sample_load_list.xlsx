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1032578\Desktop\"/>
    </mc:Choice>
  </mc:AlternateContent>
  <xr:revisionPtr revIDLastSave="0" documentId="13_ncr:1_{1EC419A7-36E3-454D-A47A-3E7C31D04FC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Load list" sheetId="1" r:id="rId1"/>
    <sheet name="Notes" sheetId="2" r:id="rId2"/>
  </sheets>
  <definedNames>
    <definedName name="_xlnm._FilterDatabase" localSheetId="0" hidden="1">'Load list'!$A$1:$G$52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<sst xmlns="http://schemas.openxmlformats.org/spreadsheetml/2006/main" count="165" uniqueCount="77">
  <si>
    <t>Description</t>
  </si>
  <si>
    <t>Amps rating (A)</t>
  </si>
  <si>
    <t>kW rating (kW)</t>
  </si>
  <si>
    <t>Voltage level (V)</t>
  </si>
  <si>
    <t>Duty/standby group</t>
  </si>
  <si>
    <t>DOL</t>
  </si>
  <si>
    <t>BFW</t>
  </si>
  <si>
    <t>CWP</t>
  </si>
  <si>
    <t>VFD</t>
  </si>
  <si>
    <t>Feeder</t>
  </si>
  <si>
    <t>How the load list is read</t>
  </si>
  <si>
    <t>Only the first sheet ('Load list') is read. Keep the header row; column order does not matter.</t>
  </si>
  <si>
    <t>kW given -&gt; motor of that kW. kVA = kW / (power factor x efficiency).</t>
  </si>
  <si>
    <t>Only amps given and Type is DOL or VFD -&gt; motor. kVA = sqrt(3) x V x A.</t>
  </si>
  <si>
    <t>Only amps given and Type is anything else -&gt; outgoing feeder. kVA = sqrt(3) x V x A.</t>
  </si>
  <si>
    <t>Power factor: DOL 0.7, VFD 0.9, feeder 0.7. Efficiency 95 %. All loads at 100 % (standby included).</t>
  </si>
  <si>
    <t>Voltage level: 433 or 690 (volts). Rows that do not match the selected transformer are listed as excluded.</t>
  </si>
  <si>
    <t>Duty/standby group (optional): loads with the same group name are placed on different transformers' bus sections.</t>
  </si>
  <si>
    <t>Optional columns can be left out; extra columns are ignored.</t>
  </si>
  <si>
    <t>The values in this file are examples only.</t>
  </si>
  <si>
    <t>W/S</t>
  </si>
  <si>
    <t>W</t>
  </si>
  <si>
    <t>S</t>
  </si>
  <si>
    <t>Boiler</t>
  </si>
  <si>
    <t>Boiler</t>
  </si>
  <si>
    <t>ESP</t>
  </si>
  <si>
    <t>Tailing Thickener Flocculant Dosing &amp; Preparation System</t>
  </si>
  <si>
    <t>Tailing Thickener Rack mechanism</t>
  </si>
  <si>
    <t>Tailing Thickener Transfer Pump 1A</t>
  </si>
  <si>
    <t>Tailing Thickener Transfer Pump 1B</t>
  </si>
  <si>
    <t>Tailing Thickener Transfer Pump - Spare</t>
  </si>
  <si>
    <t>Tailing Thickener Dosing Pump 1A</t>
  </si>
  <si>
    <t>Tailing Thickener Dosing Pump 1B</t>
  </si>
  <si>
    <t>Tailing Thickener Dosing Pump Spare</t>
  </si>
  <si>
    <t>Tailing Thickener Mixing Tank Agitator</t>
  </si>
  <si>
    <t>Tailing Thickener Mixing Tank Agitator - Spare</t>
  </si>
  <si>
    <t xml:space="preserve">Tailing Paste Thickener </t>
  </si>
  <si>
    <t>Intermediate Thickener Mixing Tank Agitator - Spare</t>
  </si>
  <si>
    <t xml:space="preserve">Rake Lift </t>
  </si>
  <si>
    <t>Intermediate Thickener Rack mechanism</t>
  </si>
  <si>
    <t>Intermediate Thickener Flocculant Dosing &amp; Preparation System</t>
  </si>
  <si>
    <t>DE WATERING PUMP1</t>
  </si>
  <si>
    <t>Pump house Pit pump for spilled slurry pumping pump-1</t>
  </si>
  <si>
    <t>Pump house Pit pump for spilled slurry pumping pump-2</t>
  </si>
  <si>
    <t>Pump house  Pit pump for spilled slurry pumping pump-3</t>
  </si>
  <si>
    <t>Pump house  Pit pump for spilled slurry pumping pump- spare</t>
  </si>
  <si>
    <t>Seal water pump (Tailing)-1</t>
  </si>
  <si>
    <t>Pump house Electric hoist - 1</t>
  </si>
  <si>
    <t>pump house sump area Electric hoist - 2</t>
  </si>
  <si>
    <t>Chiller AHU-1</t>
  </si>
  <si>
    <t>Chiller AHU spare</t>
  </si>
  <si>
    <t>Motorised value-1 for exesting system to SGB</t>
  </si>
  <si>
    <t>Motorised value-2 for exesting system to SGB</t>
  </si>
  <si>
    <t>Motorised value-3 for exesting system to SGB</t>
  </si>
  <si>
    <t>Spare</t>
  </si>
  <si>
    <t>w</t>
  </si>
  <si>
    <t>RDOL</t>
  </si>
  <si>
    <t>-</t>
  </si>
  <si>
    <t>Intermediate Thickener Transfer Pump 1B</t>
  </si>
  <si>
    <t>Intermediate Thickener Transfer Pump - Spare</t>
  </si>
  <si>
    <t>Intermediate Thickener Dosing Pump 1A</t>
  </si>
  <si>
    <t>Intermediate Thickener Dosing Pump 1B</t>
  </si>
  <si>
    <t>Intermediate Thickener Dosing Pump Spare</t>
  </si>
  <si>
    <t>DE WATERING PUMP2</t>
  </si>
  <si>
    <t>Pump house Pit pump for spilled slurry pumping pump-4</t>
  </si>
  <si>
    <t>Pump house  Pit pump for spilled slurry pumping pump-5</t>
  </si>
  <si>
    <t>Pump house  Pit pump for spilled slurry pumping pump-6</t>
  </si>
  <si>
    <t>Seal water pump (Tailing)-2</t>
  </si>
  <si>
    <t>Seal water pump (Tailing) spare</t>
  </si>
  <si>
    <t>pump house sump area Electric hoist - 1</t>
  </si>
  <si>
    <t>Pump house Electric hoist - 2</t>
  </si>
  <si>
    <t>Chiller AHU-2</t>
  </si>
  <si>
    <t>Chiller AHU-3</t>
  </si>
  <si>
    <t>Motorised value-4 for exesting system to SGB</t>
  </si>
  <si>
    <t>Motorised value-5 for exesting system to SGB</t>
  </si>
  <si>
    <t>Motorised value-6 for exesting system to SGB</t>
  </si>
  <si>
    <t>Type (RDOL/DOL/VFD/SS/Feeder)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</si>
</sst>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99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2" borderId="0" applyNumberFormat="0" applyBorder="0" applyAlignment="0" applyProtection="0"/>
    <xf numFmtId="0" fontId="7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0" fillId="3" borderId="0" xfId="0" applyFont="1" applyFill="1"/>
    <xf numFmtId="0" fontId="2" fillId="3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center" vertical="center"/>
    </xf>
    <xf numFmtId="168" fontId="0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/>
    </xf>
    <xf numFmtId="0" fontId="6" fillId="3" borderId="1" xfId="0" applyFont="1" applyFill="1" applyBorder="1"/>
    <xf numFmtId="0" fontId="6" fillId="4" borderId="1" xfId="0" applyFont="1" applyFill="1" applyBorder="1"/>
    <xf numFmtId="0" fontId="0" fillId="3" borderId="0" xfId="0" applyFont="1" applyFill="1" applyAlignment="1">
      <alignment horizontal="center"/>
    </xf>
    <xf numFmtId="0" fontId="0" fillId="3" borderId="1" xfId="2" applyFont="1" applyFill="1" applyBorder="1" applyAlignment="1">
      <alignment horizontal="left" vertical="center" wrapText="1"/>
    </xf>
    <xf numFmtId="0" fontId="4" fillId="2" borderId="1" xfId="1" applyFont="1" applyBorder="1" applyAlignment="1">
      <alignment vertical="center" wrapText="1"/>
    </xf>
    <xf numFmtId="0" fontId="4" fillId="2" borderId="1" xfId="1" applyFont="1" applyBorder="1" applyAlignment="1">
      <alignment horizontal="center" vertical="center" wrapText="1"/>
    </xf>
  </cellXfs>
  <cellStyles count="3">
    <cellStyle name="Accent6" xfId="1" builtinId="49"/>
    <cellStyle name="Hyperlink" xfId="2" builtinId="8"/>
    <cellStyle name="Normal" xfId="0" builtinId="0"/>
  </cellStyles>
  <dxfs count="19"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theme="1"/>
      </font>
      <fill>
        <patternFill patternType="solid">
          <fgColor rgb="FF9CC2E5"/>
          <bgColor rgb="FF9CC2E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theme="1"/>
      </font>
      <fill>
        <patternFill patternType="solid">
          <fgColor rgb="FF9CC2E5"/>
          <bgColor rgb="FF9CC2E5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theme="1"/>
      </font>
      <fill>
        <patternFill patternType="solid">
          <fgColor rgb="FF9CC2E5"/>
          <bgColor rgb="FF9CC2E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theme="1"/>
      </font>
      <fill>
        <patternFill patternType="solid">
          <fgColor rgb="FF9CC2E5"/>
          <bgColor rgb="FF9CC2E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theme="1"/>
      </font>
      <fill>
        <patternFill patternType="solid">
          <fgColor rgb="FF9CC2E5"/>
          <bgColor rgb="FF9CC2E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2"/>
  <sheetViews>
    <sheetView tabSelected="1" workbookViewId="0">
      <pane ySplit="1" topLeftCell="A2" activePane="bottomLeft" state="frozen"/>
      <selection pane="bottomLeft" activeCell="E18" sqref="E18"/>
    </sheetView>
  </sheetViews>
  <sheetFormatPr defaultRowHeight="15" x14ac:dyDescent="0.25"/>
  <cols>
    <col min="1" max="1" width="56.7109375" style="2" customWidth="1"/>
    <col min="2" max="2" width="26" style="10" customWidth="1"/>
    <col min="3" max="3" width="29.42578125" style="10" customWidth="1"/>
    <col min="4" max="6" width="16" style="10" customWidth="1"/>
    <col min="7" max="7" width="25.28515625" style="10" customWidth="1"/>
    <col min="8" max="16384" width="9.140625" style="2"/>
  </cols>
  <sheetData>
    <row r="1" spans="1:7" ht="30" x14ac:dyDescent="0.25">
      <c r="A1" s="12" t="s">
        <v>0</v>
      </c>
      <c r="B1" s="13" t="s">
        <v>20</v>
      </c>
      <c r="C1" s="13" t="s">
        <v>76</v>
      </c>
      <c r="D1" s="13" t="s">
        <v>1</v>
      </c>
      <c r="E1" s="13" t="s">
        <v>2</v>
      </c>
      <c r="F1" s="13" t="s">
        <v>3</v>
      </c>
      <c r="G1" s="13" t="s">
        <v>4</v>
      </c>
    </row>
    <row r="2" spans="1:7" x14ac:dyDescent="0.25">
      <c r="A2" s="3" t="s">
        <v>26</v>
      </c>
      <c r="B2" s="4" t="s">
        <v>21</v>
      </c>
      <c r="C2" s="4" t="s">
        <v>9</v>
      </c>
      <c r="D2" s="5">
        <v>139.28546556166864</v>
      </c>
      <c r="E2" s="6">
        <v>70</v>
      </c>
      <c r="F2" s="7">
        <v>433</v>
      </c>
      <c r="G2" s="7" t="s">
        <v>6</v>
      </c>
    </row>
    <row r="3" spans="1:7" x14ac:dyDescent="0.25">
      <c r="A3" s="8" t="s">
        <v>27</v>
      </c>
      <c r="B3" s="4" t="s">
        <v>21</v>
      </c>
      <c r="C3" s="4" t="s">
        <v>9</v>
      </c>
      <c r="D3" s="5">
        <v>99.489618258334744</v>
      </c>
      <c r="E3" s="4">
        <v>50</v>
      </c>
      <c r="F3" s="7">
        <v>433</v>
      </c>
      <c r="G3" s="7" t="s">
        <v>6</v>
      </c>
    </row>
    <row r="4" spans="1:7" x14ac:dyDescent="0.25">
      <c r="A4" s="8" t="s">
        <v>28</v>
      </c>
      <c r="B4" s="4"/>
      <c r="C4" s="4" t="s">
        <v>9</v>
      </c>
      <c r="D4" s="5">
        <v>14.923442738750211</v>
      </c>
      <c r="E4" s="4">
        <v>7.5</v>
      </c>
      <c r="F4" s="7">
        <v>433</v>
      </c>
      <c r="G4" s="7" t="s">
        <v>7</v>
      </c>
    </row>
    <row r="5" spans="1:7" x14ac:dyDescent="0.25">
      <c r="A5" s="8" t="s">
        <v>29</v>
      </c>
      <c r="B5" s="4"/>
      <c r="C5" s="4" t="s">
        <v>9</v>
      </c>
      <c r="D5" s="5">
        <v>14.923442738750211</v>
      </c>
      <c r="E5" s="4">
        <v>7.5</v>
      </c>
      <c r="F5" s="7">
        <v>433</v>
      </c>
      <c r="G5" s="7" t="s">
        <v>7</v>
      </c>
    </row>
    <row r="6" spans="1:7" x14ac:dyDescent="0.25">
      <c r="A6" s="8" t="s">
        <v>30</v>
      </c>
      <c r="B6" s="4"/>
      <c r="C6" s="4" t="s">
        <v>9</v>
      </c>
      <c r="D6" s="5">
        <v>14.923442738750211</v>
      </c>
      <c r="E6" s="4">
        <v>7.5</v>
      </c>
      <c r="F6" s="7">
        <v>433</v>
      </c>
      <c r="G6" s="7" t="s">
        <v>23</v>
      </c>
    </row>
    <row r="7" spans="1:7" x14ac:dyDescent="0.25">
      <c r="A7" s="8" t="s">
        <v>31</v>
      </c>
      <c r="B7" s="4"/>
      <c r="C7" s="4" t="s">
        <v>9</v>
      </c>
      <c r="D7" s="5">
        <v>9.3520241162834665</v>
      </c>
      <c r="E7" s="4">
        <v>4.7</v>
      </c>
      <c r="F7" s="7">
        <v>433</v>
      </c>
      <c r="G7" s="7" t="s">
        <v>23</v>
      </c>
    </row>
    <row r="8" spans="1:7" x14ac:dyDescent="0.25">
      <c r="A8" s="8" t="s">
        <v>32</v>
      </c>
      <c r="B8" s="4"/>
      <c r="C8" s="4" t="s">
        <v>9</v>
      </c>
      <c r="D8" s="5">
        <v>9.3520241162834665</v>
      </c>
      <c r="E8" s="4">
        <v>4.7</v>
      </c>
      <c r="F8" s="7">
        <v>433</v>
      </c>
      <c r="G8" s="7" t="s">
        <v>24</v>
      </c>
    </row>
    <row r="9" spans="1:7" x14ac:dyDescent="0.25">
      <c r="A9" s="8" t="s">
        <v>33</v>
      </c>
      <c r="B9" s="4"/>
      <c r="C9" s="4" t="s">
        <v>9</v>
      </c>
      <c r="D9" s="5">
        <v>9.3520241162834665</v>
      </c>
      <c r="E9" s="4">
        <v>4.7</v>
      </c>
      <c r="F9" s="7">
        <v>433</v>
      </c>
      <c r="G9" s="7" t="s">
        <v>25</v>
      </c>
    </row>
    <row r="10" spans="1:7" x14ac:dyDescent="0.25">
      <c r="A10" s="9" t="s">
        <v>34</v>
      </c>
      <c r="B10" s="4"/>
      <c r="C10" s="4" t="s">
        <v>9</v>
      </c>
      <c r="D10" s="5">
        <v>4.377543203366729</v>
      </c>
      <c r="E10" s="4">
        <v>2.2000000000000002</v>
      </c>
      <c r="F10" s="7">
        <v>433</v>
      </c>
      <c r="G10" s="7" t="s">
        <v>25</v>
      </c>
    </row>
    <row r="11" spans="1:7" x14ac:dyDescent="0.25">
      <c r="A11" s="9" t="s">
        <v>35</v>
      </c>
      <c r="B11" s="4"/>
      <c r="C11" s="4" t="s">
        <v>9</v>
      </c>
      <c r="D11" s="5">
        <v>4.377543203366729</v>
      </c>
      <c r="E11" s="4">
        <v>2.2000000000000002</v>
      </c>
      <c r="F11" s="7">
        <v>433</v>
      </c>
      <c r="G11" s="7"/>
    </row>
    <row r="12" spans="1:7" x14ac:dyDescent="0.25">
      <c r="A12" s="9" t="s">
        <v>36</v>
      </c>
      <c r="B12" s="4"/>
      <c r="C12" s="4" t="s">
        <v>9</v>
      </c>
      <c r="D12" s="5" t="s">
        <v>57</v>
      </c>
      <c r="E12" s="4" t="s">
        <v>57</v>
      </c>
      <c r="F12" s="7">
        <v>433</v>
      </c>
      <c r="G12" s="7"/>
    </row>
    <row r="13" spans="1:7" x14ac:dyDescent="0.25">
      <c r="A13" s="9" t="s">
        <v>37</v>
      </c>
      <c r="B13" s="4"/>
      <c r="C13" s="4" t="s">
        <v>9</v>
      </c>
      <c r="D13" s="5">
        <v>4.377543203366729</v>
      </c>
      <c r="E13" s="4">
        <v>2.2000000000000002</v>
      </c>
      <c r="F13" s="7">
        <v>433</v>
      </c>
      <c r="G13" s="7"/>
    </row>
    <row r="14" spans="1:7" x14ac:dyDescent="0.25">
      <c r="A14" s="9" t="s">
        <v>38</v>
      </c>
      <c r="B14" s="4"/>
      <c r="C14" s="4" t="s">
        <v>5</v>
      </c>
      <c r="D14" s="5">
        <v>2.1887716016833645</v>
      </c>
      <c r="E14" s="4">
        <v>1.1000000000000001</v>
      </c>
      <c r="F14" s="7">
        <v>433</v>
      </c>
      <c r="G14" s="7"/>
    </row>
    <row r="15" spans="1:7" x14ac:dyDescent="0.25">
      <c r="A15" s="3" t="s">
        <v>39</v>
      </c>
      <c r="B15" s="4" t="s">
        <v>54</v>
      </c>
      <c r="C15" s="4" t="s">
        <v>9</v>
      </c>
      <c r="D15" s="5">
        <v>99.489618258334744</v>
      </c>
      <c r="E15" s="4">
        <v>50</v>
      </c>
      <c r="F15" s="7">
        <v>433</v>
      </c>
      <c r="G15" s="7"/>
    </row>
    <row r="16" spans="1:7" x14ac:dyDescent="0.25">
      <c r="A16" s="3" t="s">
        <v>40</v>
      </c>
      <c r="B16" s="4" t="s">
        <v>54</v>
      </c>
      <c r="C16" s="4" t="s">
        <v>9</v>
      </c>
      <c r="D16" s="5">
        <v>99.489618258334744</v>
      </c>
      <c r="E16" s="4">
        <v>50</v>
      </c>
      <c r="F16" s="7">
        <v>433</v>
      </c>
      <c r="G16" s="7"/>
    </row>
    <row r="17" spans="1:7" x14ac:dyDescent="0.25">
      <c r="A17" s="8" t="s">
        <v>41</v>
      </c>
      <c r="B17" s="4" t="s">
        <v>21</v>
      </c>
      <c r="C17" s="4" t="s">
        <v>9</v>
      </c>
      <c r="D17" s="5">
        <v>59.693770955000844</v>
      </c>
      <c r="E17" s="4">
        <v>30</v>
      </c>
      <c r="F17" s="7">
        <v>433</v>
      </c>
      <c r="G17" s="7"/>
    </row>
    <row r="18" spans="1:7" x14ac:dyDescent="0.25">
      <c r="A18" s="8" t="s">
        <v>42</v>
      </c>
      <c r="B18" s="4" t="s">
        <v>54</v>
      </c>
      <c r="C18" s="4" t="s">
        <v>5</v>
      </c>
      <c r="D18" s="5">
        <v>59.693770955000844</v>
      </c>
      <c r="E18" s="4">
        <v>30</v>
      </c>
      <c r="F18" s="7">
        <v>433</v>
      </c>
      <c r="G18" s="7"/>
    </row>
    <row r="19" spans="1:7" x14ac:dyDescent="0.25">
      <c r="A19" s="8" t="s">
        <v>43</v>
      </c>
      <c r="B19" s="4" t="s">
        <v>55</v>
      </c>
      <c r="C19" s="4" t="s">
        <v>5</v>
      </c>
      <c r="D19" s="5">
        <v>59.693770955000844</v>
      </c>
      <c r="E19" s="4">
        <v>30</v>
      </c>
      <c r="F19" s="7">
        <v>433</v>
      </c>
      <c r="G19" s="7"/>
    </row>
    <row r="20" spans="1:7" x14ac:dyDescent="0.25">
      <c r="A20" s="8" t="s">
        <v>44</v>
      </c>
      <c r="B20" s="4" t="s">
        <v>55</v>
      </c>
      <c r="C20" s="4" t="s">
        <v>5</v>
      </c>
      <c r="D20" s="5">
        <v>59.693770955000844</v>
      </c>
      <c r="E20" s="4">
        <v>30</v>
      </c>
      <c r="F20" s="7">
        <v>433</v>
      </c>
      <c r="G20" s="7"/>
    </row>
    <row r="21" spans="1:7" x14ac:dyDescent="0.25">
      <c r="A21" s="8" t="s">
        <v>45</v>
      </c>
      <c r="B21" s="4" t="s">
        <v>54</v>
      </c>
      <c r="C21" s="4" t="s">
        <v>5</v>
      </c>
      <c r="D21" s="5">
        <v>59.693770955000844</v>
      </c>
      <c r="E21" s="4">
        <v>30</v>
      </c>
      <c r="F21" s="7">
        <v>433</v>
      </c>
      <c r="G21" s="7"/>
    </row>
    <row r="22" spans="1:7" x14ac:dyDescent="0.25">
      <c r="A22" s="8" t="s">
        <v>46</v>
      </c>
      <c r="B22" s="4" t="s">
        <v>55</v>
      </c>
      <c r="C22" s="4" t="s">
        <v>8</v>
      </c>
      <c r="D22" s="5">
        <v>85.118895621019718</v>
      </c>
      <c r="E22" s="4">
        <v>55</v>
      </c>
      <c r="F22" s="7">
        <v>433</v>
      </c>
      <c r="G22" s="7"/>
    </row>
    <row r="23" spans="1:7" x14ac:dyDescent="0.25">
      <c r="A23" s="8" t="s">
        <v>47</v>
      </c>
      <c r="B23" s="4" t="s">
        <v>55</v>
      </c>
      <c r="C23" s="4" t="s">
        <v>9</v>
      </c>
      <c r="D23" s="5">
        <v>59.693770955000844</v>
      </c>
      <c r="E23" s="4">
        <v>30</v>
      </c>
      <c r="F23" s="7">
        <v>433</v>
      </c>
      <c r="G23" s="7"/>
    </row>
    <row r="24" spans="1:7" x14ac:dyDescent="0.25">
      <c r="A24" s="8" t="s">
        <v>48</v>
      </c>
      <c r="B24" s="4" t="s">
        <v>54</v>
      </c>
      <c r="C24" s="4" t="s">
        <v>9</v>
      </c>
      <c r="D24" s="5">
        <v>59.693770955000844</v>
      </c>
      <c r="E24" s="4">
        <v>30</v>
      </c>
      <c r="F24" s="7">
        <v>433</v>
      </c>
      <c r="G24" s="7"/>
    </row>
    <row r="25" spans="1:7" x14ac:dyDescent="0.25">
      <c r="A25" s="11" t="s">
        <v>49</v>
      </c>
      <c r="B25" s="4" t="s">
        <v>55</v>
      </c>
      <c r="C25" s="4" t="s">
        <v>9</v>
      </c>
      <c r="D25" s="5">
        <v>21.887716016833643</v>
      </c>
      <c r="E25" s="4">
        <v>11</v>
      </c>
      <c r="F25" s="7">
        <v>433</v>
      </c>
      <c r="G25" s="7"/>
    </row>
    <row r="26" spans="1:7" x14ac:dyDescent="0.25">
      <c r="A26" s="11" t="s">
        <v>50</v>
      </c>
      <c r="B26" s="4" t="s">
        <v>54</v>
      </c>
      <c r="C26" s="4" t="s">
        <v>9</v>
      </c>
      <c r="D26" s="5">
        <v>21.887716016833643</v>
      </c>
      <c r="E26" s="4">
        <v>11</v>
      </c>
      <c r="F26" s="7">
        <v>433</v>
      </c>
      <c r="G26" s="7"/>
    </row>
    <row r="27" spans="1:7" x14ac:dyDescent="0.25">
      <c r="A27" s="3" t="s">
        <v>51</v>
      </c>
      <c r="B27" s="4" t="s">
        <v>55</v>
      </c>
      <c r="C27" s="4" t="s">
        <v>56</v>
      </c>
      <c r="D27" s="5">
        <v>4.377543203366729</v>
      </c>
      <c r="E27" s="4">
        <v>2.2000000000000002</v>
      </c>
      <c r="F27" s="7">
        <v>433</v>
      </c>
      <c r="G27" s="7"/>
    </row>
    <row r="28" spans="1:7" x14ac:dyDescent="0.25">
      <c r="A28" s="3" t="s">
        <v>52</v>
      </c>
      <c r="B28" s="4" t="s">
        <v>55</v>
      </c>
      <c r="C28" s="4" t="s">
        <v>56</v>
      </c>
      <c r="D28" s="5">
        <v>4.377543203366729</v>
      </c>
      <c r="E28" s="4">
        <v>2.2000000000000002</v>
      </c>
      <c r="F28" s="7">
        <v>433</v>
      </c>
      <c r="G28" s="7"/>
    </row>
    <row r="29" spans="1:7" x14ac:dyDescent="0.25">
      <c r="A29" s="3" t="s">
        <v>53</v>
      </c>
      <c r="B29" s="4" t="s">
        <v>55</v>
      </c>
      <c r="C29" s="4" t="s">
        <v>56</v>
      </c>
      <c r="D29" s="5">
        <v>4.377543203366729</v>
      </c>
      <c r="E29" s="4">
        <v>2.2000000000000002</v>
      </c>
      <c r="F29" s="7">
        <v>433</v>
      </c>
      <c r="G29" s="7"/>
    </row>
    <row r="30" spans="1:7" x14ac:dyDescent="0.25">
      <c r="A30" s="3" t="s">
        <v>26</v>
      </c>
      <c r="B30" s="4" t="s">
        <v>54</v>
      </c>
      <c r="C30" s="4" t="s">
        <v>9</v>
      </c>
      <c r="D30" s="5">
        <v>139.28546556166864</v>
      </c>
      <c r="E30" s="6">
        <v>70</v>
      </c>
      <c r="F30" s="7">
        <v>433</v>
      </c>
      <c r="G30" s="7"/>
    </row>
    <row r="31" spans="1:7" x14ac:dyDescent="0.25">
      <c r="A31" s="8" t="s">
        <v>27</v>
      </c>
      <c r="B31" s="4" t="s">
        <v>54</v>
      </c>
      <c r="C31" s="4" t="s">
        <v>9</v>
      </c>
      <c r="D31" s="5">
        <v>99.489618258334744</v>
      </c>
      <c r="E31" s="4">
        <v>50</v>
      </c>
      <c r="F31" s="7">
        <v>433</v>
      </c>
      <c r="G31" s="7"/>
    </row>
    <row r="32" spans="1:7" x14ac:dyDescent="0.25">
      <c r="A32" s="3" t="s">
        <v>39</v>
      </c>
      <c r="B32" s="4" t="s">
        <v>55</v>
      </c>
      <c r="C32" s="4" t="s">
        <v>9</v>
      </c>
      <c r="D32" s="5">
        <v>99.489618258334744</v>
      </c>
      <c r="E32" s="4">
        <v>50</v>
      </c>
      <c r="F32" s="7">
        <v>433</v>
      </c>
      <c r="G32" s="7"/>
    </row>
    <row r="33" spans="1:7" x14ac:dyDescent="0.25">
      <c r="A33" s="3" t="s">
        <v>40</v>
      </c>
      <c r="B33" s="4" t="s">
        <v>55</v>
      </c>
      <c r="C33" s="4" t="s">
        <v>9</v>
      </c>
      <c r="D33" s="5">
        <v>99.489618258334744</v>
      </c>
      <c r="E33" s="4">
        <v>50</v>
      </c>
      <c r="F33" s="7">
        <v>433</v>
      </c>
      <c r="G33" s="7"/>
    </row>
    <row r="34" spans="1:7" x14ac:dyDescent="0.25">
      <c r="A34" s="8" t="s">
        <v>58</v>
      </c>
      <c r="B34" s="4"/>
      <c r="C34" s="4" t="s">
        <v>9</v>
      </c>
      <c r="D34" s="5">
        <v>13.928546556166864</v>
      </c>
      <c r="E34" s="4">
        <v>7</v>
      </c>
      <c r="F34" s="7">
        <v>433</v>
      </c>
      <c r="G34" s="7"/>
    </row>
    <row r="35" spans="1:7" x14ac:dyDescent="0.25">
      <c r="A35" s="8" t="s">
        <v>59</v>
      </c>
      <c r="B35" s="4"/>
      <c r="C35" s="4" t="s">
        <v>9</v>
      </c>
      <c r="D35" s="5">
        <v>13.928546556166864</v>
      </c>
      <c r="E35" s="4">
        <v>7</v>
      </c>
      <c r="F35" s="7">
        <v>433</v>
      </c>
      <c r="G35" s="7"/>
    </row>
    <row r="36" spans="1:7" x14ac:dyDescent="0.25">
      <c r="A36" s="8" t="s">
        <v>60</v>
      </c>
      <c r="B36" s="4"/>
      <c r="C36" s="4" t="s">
        <v>9</v>
      </c>
      <c r="D36" s="5">
        <v>4.9744809129167376</v>
      </c>
      <c r="E36" s="4">
        <v>2.5</v>
      </c>
      <c r="F36" s="7">
        <v>433</v>
      </c>
      <c r="G36" s="7"/>
    </row>
    <row r="37" spans="1:7" x14ac:dyDescent="0.25">
      <c r="A37" s="8" t="s">
        <v>61</v>
      </c>
      <c r="B37" s="4"/>
      <c r="C37" s="4" t="s">
        <v>9</v>
      </c>
      <c r="D37" s="5">
        <v>4.9744809129167376</v>
      </c>
      <c r="E37" s="4">
        <v>2.5</v>
      </c>
      <c r="F37" s="7">
        <v>433</v>
      </c>
      <c r="G37" s="7"/>
    </row>
    <row r="38" spans="1:7" x14ac:dyDescent="0.25">
      <c r="A38" s="8" t="s">
        <v>62</v>
      </c>
      <c r="B38" s="4"/>
      <c r="C38" s="4" t="s">
        <v>9</v>
      </c>
      <c r="D38" s="5">
        <v>4.9744809129167376</v>
      </c>
      <c r="E38" s="4">
        <v>2.5</v>
      </c>
      <c r="F38" s="7">
        <v>433</v>
      </c>
      <c r="G38" s="7"/>
    </row>
    <row r="39" spans="1:7" x14ac:dyDescent="0.25">
      <c r="A39" s="8" t="s">
        <v>63</v>
      </c>
      <c r="B39" s="4" t="s">
        <v>55</v>
      </c>
      <c r="C39" s="4" t="s">
        <v>5</v>
      </c>
      <c r="D39" s="5">
        <v>59.693770955000844</v>
      </c>
      <c r="E39" s="4">
        <v>30</v>
      </c>
      <c r="F39" s="7">
        <v>433</v>
      </c>
      <c r="G39" s="7"/>
    </row>
    <row r="40" spans="1:7" x14ac:dyDescent="0.25">
      <c r="A40" s="8" t="s">
        <v>64</v>
      </c>
      <c r="B40" s="4" t="s">
        <v>55</v>
      </c>
      <c r="C40" s="4" t="s">
        <v>5</v>
      </c>
      <c r="D40" s="5">
        <v>59.693770955000844</v>
      </c>
      <c r="E40" s="4">
        <v>30</v>
      </c>
      <c r="F40" s="7">
        <v>433</v>
      </c>
      <c r="G40" s="7"/>
    </row>
    <row r="41" spans="1:7" x14ac:dyDescent="0.25">
      <c r="A41" s="8" t="s">
        <v>65</v>
      </c>
      <c r="B41" s="4" t="s">
        <v>55</v>
      </c>
      <c r="C41" s="4" t="s">
        <v>5</v>
      </c>
      <c r="D41" s="5">
        <v>59.693770955000844</v>
      </c>
      <c r="E41" s="4">
        <v>30</v>
      </c>
      <c r="F41" s="7">
        <v>433</v>
      </c>
      <c r="G41" s="7"/>
    </row>
    <row r="42" spans="1:7" x14ac:dyDescent="0.25">
      <c r="A42" s="8" t="s">
        <v>66</v>
      </c>
      <c r="B42" s="4" t="s">
        <v>55</v>
      </c>
      <c r="C42" s="4" t="s">
        <v>8</v>
      </c>
      <c r="D42" s="5">
        <v>46.428488520556208</v>
      </c>
      <c r="E42" s="4">
        <v>30</v>
      </c>
      <c r="F42" s="7">
        <v>433</v>
      </c>
      <c r="G42" s="7"/>
    </row>
    <row r="43" spans="1:7" x14ac:dyDescent="0.25">
      <c r="A43" s="8" t="s">
        <v>45</v>
      </c>
      <c r="B43" s="4" t="s">
        <v>54</v>
      </c>
      <c r="C43" s="4" t="s">
        <v>5</v>
      </c>
      <c r="D43" s="5">
        <v>59.693770955000844</v>
      </c>
      <c r="E43" s="4">
        <v>30</v>
      </c>
      <c r="F43" s="7">
        <v>433</v>
      </c>
      <c r="G43" s="7"/>
    </row>
    <row r="44" spans="1:7" x14ac:dyDescent="0.25">
      <c r="A44" s="8" t="s">
        <v>67</v>
      </c>
      <c r="B44" s="4" t="s">
        <v>22</v>
      </c>
      <c r="C44" s="4" t="s">
        <v>8</v>
      </c>
      <c r="D44" s="5">
        <v>85.118895621019718</v>
      </c>
      <c r="E44" s="4">
        <v>55</v>
      </c>
      <c r="F44" s="7">
        <v>433</v>
      </c>
      <c r="G44" s="7"/>
    </row>
    <row r="45" spans="1:7" x14ac:dyDescent="0.25">
      <c r="A45" s="8" t="s">
        <v>68</v>
      </c>
      <c r="B45" s="4" t="s">
        <v>54</v>
      </c>
      <c r="C45" s="4" t="s">
        <v>8</v>
      </c>
      <c r="D45" s="5">
        <v>85.118895621019718</v>
      </c>
      <c r="E45" s="4">
        <v>55</v>
      </c>
      <c r="F45" s="7">
        <v>433</v>
      </c>
      <c r="G45" s="7"/>
    </row>
    <row r="46" spans="1:7" x14ac:dyDescent="0.25">
      <c r="A46" s="8" t="s">
        <v>69</v>
      </c>
      <c r="B46" s="4" t="s">
        <v>55</v>
      </c>
      <c r="C46" s="4" t="s">
        <v>9</v>
      </c>
      <c r="D46" s="5">
        <v>59.693770955000844</v>
      </c>
      <c r="E46" s="4">
        <v>30</v>
      </c>
      <c r="F46" s="7">
        <v>433</v>
      </c>
      <c r="G46" s="7"/>
    </row>
    <row r="47" spans="1:7" x14ac:dyDescent="0.25">
      <c r="A47" s="8" t="s">
        <v>70</v>
      </c>
      <c r="B47" s="4" t="s">
        <v>54</v>
      </c>
      <c r="C47" s="4" t="s">
        <v>9</v>
      </c>
      <c r="D47" s="5">
        <v>59.693770955000844</v>
      </c>
      <c r="E47" s="4">
        <v>30</v>
      </c>
      <c r="F47" s="7">
        <v>433</v>
      </c>
      <c r="G47" s="7"/>
    </row>
    <row r="48" spans="1:7" x14ac:dyDescent="0.25">
      <c r="A48" s="11" t="s">
        <v>71</v>
      </c>
      <c r="B48" s="4" t="s">
        <v>21</v>
      </c>
      <c r="C48" s="4" t="s">
        <v>9</v>
      </c>
      <c r="D48" s="5">
        <v>21.887716016833643</v>
      </c>
      <c r="E48" s="4">
        <v>11</v>
      </c>
      <c r="F48" s="7">
        <v>433</v>
      </c>
      <c r="G48" s="7"/>
    </row>
    <row r="49" spans="1:7" x14ac:dyDescent="0.25">
      <c r="A49" s="11" t="s">
        <v>72</v>
      </c>
      <c r="B49" s="4" t="s">
        <v>21</v>
      </c>
      <c r="C49" s="4" t="s">
        <v>9</v>
      </c>
      <c r="D49" s="5">
        <v>21.887716016833643</v>
      </c>
      <c r="E49" s="4">
        <v>11</v>
      </c>
      <c r="F49" s="7">
        <v>433</v>
      </c>
      <c r="G49" s="7"/>
    </row>
    <row r="50" spans="1:7" x14ac:dyDescent="0.25">
      <c r="A50" s="3" t="s">
        <v>73</v>
      </c>
      <c r="B50" s="4" t="s">
        <v>55</v>
      </c>
      <c r="C50" s="4" t="s">
        <v>56</v>
      </c>
      <c r="D50" s="5">
        <v>4.377543203366729</v>
      </c>
      <c r="E50" s="4">
        <v>2.2000000000000002</v>
      </c>
      <c r="F50" s="7">
        <v>433</v>
      </c>
      <c r="G50" s="7"/>
    </row>
    <row r="51" spans="1:7" x14ac:dyDescent="0.25">
      <c r="A51" s="3" t="s">
        <v>74</v>
      </c>
      <c r="B51" s="4" t="s">
        <v>55</v>
      </c>
      <c r="C51" s="4" t="s">
        <v>56</v>
      </c>
      <c r="D51" s="5">
        <v>4.377543203366729</v>
      </c>
      <c r="E51" s="4">
        <v>2.2000000000000002</v>
      </c>
      <c r="F51" s="7">
        <v>433</v>
      </c>
      <c r="G51" s="7"/>
    </row>
    <row r="52" spans="1:7" x14ac:dyDescent="0.25">
      <c r="A52" s="3" t="s">
        <v>75</v>
      </c>
      <c r="B52" s="4" t="s">
        <v>55</v>
      </c>
      <c r="C52" s="4" t="s">
        <v>56</v>
      </c>
      <c r="D52" s="5">
        <v>4.377543203366729</v>
      </c>
      <c r="E52" s="4">
        <v>2.2000000000000002</v>
      </c>
      <c r="F52" s="7">
        <v>433</v>
      </c>
      <c r="G52" s="7"/>
    </row>
  </sheetData>
  <phoneticPr fontId="3" type="noConversion"/>
  <conditionalFormatting sqref="B2:B29">
    <cfRule type="cellIs" dxfId="18" priority="9" operator="equal">
      <formula>"S"</formula>
    </cfRule>
    <cfRule type="containsText" dxfId="17" priority="10" operator="containsText" text="Spare">
      <formula>NOT(ISERROR(SEARCH(("Spare"),(B2))))</formula>
    </cfRule>
    <cfRule type="containsText" dxfId="16" priority="11" operator="containsText" text="W">
      <formula>NOT(ISERROR(SEARCH(("W"),(B2))))</formula>
    </cfRule>
  </conditionalFormatting>
  <conditionalFormatting sqref="B30:B52">
    <cfRule type="cellIs" dxfId="7" priority="2" operator="equal">
      <formula>"S"</formula>
    </cfRule>
  </conditionalFormatting>
  <conditionalFormatting sqref="B30:B52">
    <cfRule type="containsText" dxfId="6" priority="3" operator="containsText" text="Spare">
      <formula>NOT(ISERROR(SEARCH(("Spare"),(B30))))</formula>
    </cfRule>
    <cfRule type="containsText" dxfId="5" priority="4" operator="containsText" text="W">
      <formula>NOT(ISERROR(SEARCH(("W"),(B30))))</formula>
    </cfRule>
  </conditionalFormatting>
  <conditionalFormatting sqref="B39 B42">
    <cfRule type="containsText" dxfId="4" priority="7" operator="containsText" text="Spare">
      <formula>NOT(ISERROR(SEARCH(("Spare"),(B39))))</formula>
    </cfRule>
    <cfRule type="containsText" dxfId="3" priority="8" operator="containsText" text="W">
      <formula>NOT(ISERROR(SEARCH(("W"),(B39))))</formula>
    </cfRule>
  </conditionalFormatting>
  <conditionalFormatting sqref="B42 B39">
    <cfRule type="cellIs" dxfId="2" priority="6" operator="equal">
      <formula>"S"</formula>
    </cfRule>
  </conditionalFormatting>
  <conditionalFormatting sqref="B42">
    <cfRule type="containsText" dxfId="1" priority="1" operator="containsText" text="W">
      <formula>NOT(ISERROR(SEARCH(("W"),(B42))))</formula>
    </cfRule>
    <cfRule type="containsText" dxfId="0" priority="5" operator="containsText" text="Spare">
      <formula>NOT(ISERROR(SEARCH(("Spare"),(B42))))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workbookViewId="0"/>
  </sheetViews>
  <sheetFormatPr defaultRowHeight="15" x14ac:dyDescent="0.25"/>
  <cols>
    <col min="1" max="1" width="110" customWidth="1"/>
  </cols>
  <sheetData>
    <row r="1" spans="1:1" x14ac:dyDescent="0.25">
      <c r="A1" s="1" t="s">
        <v>10</v>
      </c>
    </row>
    <row r="2" spans="1:1" x14ac:dyDescent="0.25">
      <c r="A2" t="s">
        <v>11</v>
      </c>
    </row>
    <row r="3" spans="1:1" x14ac:dyDescent="0.25">
      <c r="A3" t="s">
        <v>12</v>
      </c>
    </row>
    <row r="4" spans="1:1" x14ac:dyDescent="0.25">
      <c r="A4" t="s">
        <v>13</v>
      </c>
    </row>
    <row r="5" spans="1:1" x14ac:dyDescent="0.25">
      <c r="A5" t="s">
        <v>14</v>
      </c>
    </row>
    <row r="6" spans="1:1" x14ac:dyDescent="0.25">
      <c r="A6" t="s">
        <v>15</v>
      </c>
    </row>
    <row r="7" spans="1:1" x14ac:dyDescent="0.25">
      <c r="A7" t="s">
        <v>16</v>
      </c>
    </row>
    <row r="8" spans="1:1" x14ac:dyDescent="0.25">
      <c r="A8" t="s">
        <v>17</v>
      </c>
    </row>
    <row r="9" spans="1:1" x14ac:dyDescent="0.25">
      <c r="A9" t="s">
        <v>18</v>
      </c>
    </row>
    <row r="10" spans="1:1" x14ac:dyDescent="0.25">
      <c r="A10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Load list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2026-10-12T04:46:24Z</dcterms:created>
  <dcterms:modified xsi:type="dcterms:W3CDTF">2026-10-15T10:46:52Z</dcterms:modified>
</cp:coreProperties>
</file>